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52ae5e21e8bbd2/Desktop/Data Analyst/"/>
    </mc:Choice>
  </mc:AlternateContent>
  <xr:revisionPtr revIDLastSave="0" documentId="13_ncr:1_{AEC6CFFA-FEAF-46FD-997D-D2410EA2A8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N2" i="2"/>
  <c r="H2" i="2"/>
  <c r="I2" i="2"/>
  <c r="J2" i="2"/>
  <c r="M2" i="2" s="1"/>
  <c r="K2" i="2"/>
  <c r="L2" i="2"/>
  <c r="H3" i="2"/>
  <c r="I3" i="2"/>
  <c r="J3" i="2"/>
  <c r="M3" i="2" s="1"/>
  <c r="L3" i="2"/>
  <c r="H4" i="2"/>
  <c r="I4" i="2"/>
  <c r="J4" i="2"/>
  <c r="M4" i="2" s="1"/>
  <c r="L4" i="2"/>
  <c r="H5" i="2"/>
  <c r="I5" i="2"/>
  <c r="J5" i="2"/>
  <c r="M5" i="2" s="1"/>
  <c r="L5" i="2"/>
  <c r="H6" i="2"/>
  <c r="I6" i="2"/>
  <c r="J6" i="2"/>
  <c r="M6" i="2" s="1"/>
  <c r="L6" i="2"/>
  <c r="H7" i="2"/>
  <c r="I7" i="2"/>
  <c r="J7" i="2"/>
  <c r="M7" i="2" s="1"/>
  <c r="L7" i="2"/>
  <c r="H8" i="2"/>
  <c r="I8" i="2"/>
  <c r="J8" i="2"/>
  <c r="M8" i="2" s="1"/>
  <c r="L8" i="2"/>
  <c r="H9" i="2"/>
  <c r="I9" i="2"/>
  <c r="J9" i="2"/>
  <c r="L9" i="2"/>
  <c r="M9" i="2"/>
  <c r="H10" i="2"/>
  <c r="I10" i="2"/>
  <c r="J10" i="2"/>
  <c r="M10" i="2" s="1"/>
  <c r="L10" i="2"/>
  <c r="H11" i="2"/>
  <c r="I11" i="2"/>
  <c r="J11" i="2"/>
  <c r="M11" i="2" s="1"/>
  <c r="L11" i="2"/>
  <c r="H12" i="2"/>
  <c r="I12" i="2"/>
  <c r="J12" i="2"/>
  <c r="M12" i="2" s="1"/>
  <c r="L12" i="2"/>
  <c r="H13" i="2"/>
  <c r="I13" i="2"/>
  <c r="J13" i="2"/>
  <c r="M13" i="2" s="1"/>
  <c r="L13" i="2"/>
  <c r="H14" i="2"/>
  <c r="I14" i="2"/>
  <c r="J14" i="2"/>
  <c r="M14" i="2" s="1"/>
  <c r="L14" i="2"/>
  <c r="H15" i="2"/>
  <c r="I15" i="2"/>
  <c r="J15" i="2"/>
  <c r="L15" i="2"/>
  <c r="M15" i="2"/>
  <c r="H16" i="2"/>
  <c r="I16" i="2"/>
  <c r="J16" i="2"/>
  <c r="M16" i="2" s="1"/>
  <c r="L16" i="2"/>
  <c r="H17" i="2"/>
  <c r="I17" i="2"/>
  <c r="J17" i="2"/>
  <c r="L17" i="2"/>
  <c r="M17" i="2"/>
  <c r="H18" i="2"/>
  <c r="I18" i="2"/>
  <c r="J18" i="2"/>
  <c r="M18" i="2" s="1"/>
  <c r="L18" i="2"/>
  <c r="H19" i="2"/>
  <c r="I19" i="2"/>
  <c r="J19" i="2"/>
  <c r="M19" i="2" s="1"/>
  <c r="L19" i="2"/>
  <c r="H20" i="2"/>
  <c r="I20" i="2"/>
  <c r="J20" i="2"/>
  <c r="M20" i="2" s="1"/>
  <c r="L20" i="2"/>
  <c r="H21" i="2"/>
  <c r="I21" i="2"/>
  <c r="J21" i="2"/>
  <c r="M21" i="2" s="1"/>
  <c r="L21" i="2"/>
  <c r="H22" i="2"/>
  <c r="I22" i="2"/>
  <c r="J22" i="2"/>
  <c r="M22" i="2" s="1"/>
  <c r="L22" i="2"/>
  <c r="H23" i="2"/>
  <c r="I23" i="2"/>
  <c r="J23" i="2"/>
  <c r="L23" i="2"/>
  <c r="M23" i="2"/>
  <c r="H24" i="2"/>
  <c r="I24" i="2"/>
  <c r="J24" i="2"/>
  <c r="M24" i="2" s="1"/>
  <c r="L24" i="2"/>
  <c r="H25" i="2"/>
  <c r="I25" i="2"/>
  <c r="J25" i="2"/>
  <c r="L25" i="2"/>
  <c r="M25" i="2"/>
  <c r="H26" i="2"/>
  <c r="I26" i="2"/>
  <c r="J26" i="2"/>
  <c r="M26" i="2" s="1"/>
  <c r="L26" i="2"/>
  <c r="H27" i="2"/>
  <c r="I27" i="2"/>
  <c r="J27" i="2"/>
  <c r="M27" i="2" s="1"/>
  <c r="L27" i="2"/>
  <c r="H28" i="2"/>
  <c r="I28" i="2"/>
  <c r="J28" i="2"/>
  <c r="M28" i="2" s="1"/>
  <c r="L28" i="2"/>
  <c r="H29" i="2"/>
  <c r="I29" i="2"/>
  <c r="J29" i="2"/>
  <c r="M29" i="2" s="1"/>
  <c r="L29" i="2"/>
  <c r="H30" i="2"/>
  <c r="I30" i="2"/>
  <c r="J30" i="2"/>
  <c r="M30" i="2" s="1"/>
  <c r="L30" i="2"/>
  <c r="H31" i="2"/>
  <c r="I31" i="2"/>
  <c r="J31" i="2"/>
  <c r="L31" i="2"/>
  <c r="M31" i="2"/>
  <c r="H32" i="2"/>
  <c r="I32" i="2"/>
  <c r="J32" i="2"/>
  <c r="M32" i="2" s="1"/>
  <c r="L32" i="2"/>
</calcChain>
</file>

<file path=xl/sharedStrings.xml><?xml version="1.0" encoding="utf-8"?>
<sst xmlns="http://schemas.openxmlformats.org/spreadsheetml/2006/main" count="153" uniqueCount="123">
  <si>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</si>
  <si>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</si>
  <si>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</si>
  <si>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</si>
  <si>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</si>
  <si>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</si>
  <si>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</si>
  <si>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</si>
  <si>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</si>
  <si>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</si>
  <si>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</si>
  <si>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</si>
  <si>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</si>
  <si>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</si>
  <si>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</si>
  <si>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</si>
  <si>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</si>
  <si>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</si>
  <si>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</si>
  <si>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</si>
  <si>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</si>
  <si>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</si>
  <si>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</si>
  <si>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</si>
  <si>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</si>
  <si>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</si>
  <si>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</si>
  <si>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</si>
  <si>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</si>
  <si>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</si>
  <si>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</si>
  <si>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</si>
  <si>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</si>
  <si>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</si>
  <si>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</si>
  <si>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</si>
  <si>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</si>
  <si>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</si>
  <si>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</si>
  <si>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</si>
  <si>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</si>
  <si>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</si>
  <si>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</si>
  <si>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</si>
  <si>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</si>
  <si>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</si>
  <si>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</si>
  <si>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</si>
  <si>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</si>
  <si>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</si>
  <si>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</si>
  <si>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</si>
  <si>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</si>
  <si>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</si>
  <si>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</si>
  <si>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</si>
  <si>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</si>
  <si>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</si>
  <si>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</si>
  <si>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</si>
  <si>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</si>
  <si>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</si>
  <si>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</si>
  <si>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</si>
  <si>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</si>
  <si>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</si>
  <si>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</si>
  <si>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</si>
  <si>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</si>
  <si>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</si>
  <si>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</si>
  <si>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</si>
  <si>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</si>
  <si>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</si>
  <si>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</si>
  <si>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</si>
  <si>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</si>
  <si>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</si>
  <si>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</si>
  <si>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</si>
  <si>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</si>
  <si>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</si>
  <si>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</si>
  <si>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</si>
  <si>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</si>
  <si>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</si>
  <si>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</si>
  <si>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</si>
  <si>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</si>
  <si>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</si>
  <si>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</si>
  <si>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</si>
  <si>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</si>
  <si>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</si>
  <si>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</si>
  <si>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</si>
  <si>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</si>
  <si>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</si>
  <si>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</si>
  <si>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</si>
  <si>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</si>
  <si>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</si>
  <si>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</si>
  <si>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</si>
  <si>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</si>
  <si>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</si>
  <si>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</si>
  <si>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</si>
  <si>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</si>
  <si>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</si>
  <si>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</si>
  <si>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</si>
  <si>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</si>
  <si>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</si>
  <si>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</si>
  <si>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name</t>
  </si>
  <si>
    <t>Country Code</t>
  </si>
  <si>
    <t>Product Brand</t>
  </si>
  <si>
    <t>Price (Currency format)</t>
  </si>
  <si>
    <t>Manufacturing Date</t>
  </si>
  <si>
    <t>Missing in price columns</t>
  </si>
  <si>
    <t>Price Impute</t>
  </si>
  <si>
    <t>Category impute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</si>
</sst>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₹-439]#,##0.00;[Red][$₹-439]#,##0.00"/>
    <numFmt numFmtId="166" formatCode="[$₹-4009]\ #,##0.00;[Red][$₹-4009]\ 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1" applyNumberFormat="1" applyFont="1"/>
    <xf numFmtId="166" fontId="0" fillId="0" borderId="0" xfId="0" applyNumberFormat="1"/>
    <xf numFmtId="0" fontId="9" fillId="2" borderId="0" xfId="0" applyFont="1" applyFill="1" applyAlignment="1">
      <alignment horizontal="center"/>
    </xf>
    <xf numFmtId="14" fontId="0" fillId="0" borderId="0" xfId="0" applyNumberFormat="1"/>
  </cellXfs>
  <cellStyles count="2">
    <cellStyle name="Currency" xfId="1" builtinId="4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zoomScale="83" workbookViewId="0">
      <selection activeCell="G2" sqref="G2"/>
    </sheetView>
  </sheetViews>
  <sheetFormatPr defaultColWidth="12.6640625" defaultRowHeight="15" customHeight="1" x14ac:dyDescent="0.25"/>
  <cols>
    <col min="1" max="6" width="12.6640625" customWidth="1"/>
    <col min="7" max="7" width="24.77734375" bestFit="1" customWidth="1"/>
    <col min="9" max="9" width="16.44140625" bestFit="1" customWidth="1"/>
    <col min="10" max="10" width="14.33203125" bestFit="1" customWidth="1"/>
    <col min="11" max="11" width="19.6640625" bestFit="1" customWidth="1"/>
    <col min="12" max="12" width="13.88671875" bestFit="1" customWidth="1"/>
    <col min="13" max="13" width="22.109375" bestFit="1" customWidth="1"/>
    <col min="14" max="14" width="23.109375" style="10" bestFit="1" customWidth="1"/>
  </cols>
  <sheetData>
    <row r="1" spans="1:14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120</v>
      </c>
      <c r="H1" s="7" t="s">
        <v>121</v>
      </c>
      <c r="I1" s="7" t="s">
        <v>122</v>
      </c>
      <c r="J1" s="7" t="s">
        <v>115</v>
      </c>
      <c r="K1" s="13" t="s">
        <v>119</v>
      </c>
      <c r="L1" s="7" t="s">
        <v>116</v>
      </c>
      <c r="M1" s="7" t="s">
        <v>117</v>
      </c>
      <c r="N1" s="9" t="s">
        <v>118</v>
      </c>
    </row>
    <row r="2" spans="1:14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G2">
        <f>COUNTBLANK(D2:D32)</f>
        <v>3</v>
      </c>
      <c r="H2">
        <f>IF(ISBLANK(D2),AVERAGE(D2:D35),D2)</f>
        <v>1000</v>
      </c>
      <c r="I2" t="str">
        <f>IF(ISBLANK(F2),"unknown",(F2))</f>
        <v>Electronics</v>
      </c>
      <c r="J2" t="str">
        <f>PROPER(B2)</f>
        <v>Laptop</v>
      </c>
      <c r="K2" s="14" t="str">
        <f>LEFT(A2,6)</f>
        <v>28-JAN</v>
      </c>
      <c r="L2" t="str">
        <f>RIGHT(A2,2)</f>
        <v>US</v>
      </c>
      <c r="M2" t="str">
        <f>CONCATENATE(J2," ",C2)</f>
        <v>Laptop Dell</v>
      </c>
      <c r="N2" s="11">
        <f>$H$2</f>
        <v>1000</v>
      </c>
    </row>
    <row r="3" spans="1:14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H3">
        <f t="shared" ref="H3:H32" si="0">IF(ISBLANK(D3),AVERAGE(D3:D36),D3)</f>
        <v>80</v>
      </c>
      <c r="I3" t="str">
        <f t="shared" ref="I3:I32" si="1">IF(ISBLANK(F3),"unknown",(F3))</f>
        <v>Fashion</v>
      </c>
      <c r="J3" t="str">
        <f t="shared" ref="J3:J32" si="2">PROPER(B3)</f>
        <v>Sneakers</v>
      </c>
      <c r="K3" s="14" t="str">
        <f t="shared" ref="K3:K32" si="3">LEFT(A3,6)</f>
        <v>15-FEB</v>
      </c>
      <c r="L3" t="str">
        <f t="shared" ref="L3:L32" si="4">RIGHT(A3,2)</f>
        <v>US</v>
      </c>
      <c r="M3" t="str">
        <f t="shared" ref="M3:M32" si="5">CONCATENATE(J3," ",C3)</f>
        <v>Sneakers Nike</v>
      </c>
      <c r="N3" s="12">
        <v>80</v>
      </c>
    </row>
    <row r="4" spans="1:14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H4">
        <f t="shared" si="0"/>
        <v>130</v>
      </c>
      <c r="I4" t="str">
        <f t="shared" si="1"/>
        <v>Kitchen</v>
      </c>
      <c r="J4" t="str">
        <f t="shared" si="2"/>
        <v>Coffee Maker</v>
      </c>
      <c r="K4" s="14" t="str">
        <f t="shared" si="3"/>
        <v>03-MAR</v>
      </c>
      <c r="L4" t="str">
        <f t="shared" si="4"/>
        <v>US</v>
      </c>
      <c r="M4" t="str">
        <f t="shared" si="5"/>
        <v>Coffee Maker Keurig</v>
      </c>
      <c r="N4" s="12">
        <v>130</v>
      </c>
    </row>
    <row r="5" spans="1:14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H5">
        <f t="shared" si="0"/>
        <v>900</v>
      </c>
      <c r="I5" t="str">
        <f t="shared" si="1"/>
        <v>Electronics</v>
      </c>
      <c r="J5" t="str">
        <f t="shared" si="2"/>
        <v>Smartphone</v>
      </c>
      <c r="K5" s="14" t="str">
        <f t="shared" si="3"/>
        <v>11-APR</v>
      </c>
      <c r="L5" t="str">
        <f t="shared" si="4"/>
        <v>US</v>
      </c>
      <c r="M5" t="str">
        <f t="shared" si="5"/>
        <v>Smartphone Samsung</v>
      </c>
      <c r="N5" s="12">
        <v>900</v>
      </c>
    </row>
    <row r="6" spans="1:14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  <c r="H6">
        <f t="shared" si="0"/>
        <v>70</v>
      </c>
      <c r="I6" t="str">
        <f t="shared" si="1"/>
        <v>unknown</v>
      </c>
      <c r="J6" t="str">
        <f t="shared" si="2"/>
        <v>Backpack</v>
      </c>
      <c r="K6" s="14" t="str">
        <f t="shared" si="3"/>
        <v>22-MAY</v>
      </c>
      <c r="L6" t="str">
        <f t="shared" si="4"/>
        <v>US</v>
      </c>
      <c r="M6" t="str">
        <f t="shared" si="5"/>
        <v>Backpack North Face</v>
      </c>
      <c r="N6" s="12">
        <v>70</v>
      </c>
    </row>
    <row r="7" spans="1:14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28</v>
      </c>
      <c r="H7">
        <f t="shared" si="0"/>
        <v>267.82608695652175</v>
      </c>
      <c r="I7" t="str">
        <f t="shared" si="1"/>
        <v>Electronics</v>
      </c>
      <c r="J7" t="str">
        <f t="shared" si="2"/>
        <v>Headphones</v>
      </c>
      <c r="K7" s="14" t="str">
        <f t="shared" si="3"/>
        <v>07-JUN</v>
      </c>
      <c r="L7" t="str">
        <f t="shared" si="4"/>
        <v>UK</v>
      </c>
      <c r="M7" t="str">
        <f t="shared" si="5"/>
        <v>Headphones Sony</v>
      </c>
      <c r="N7" s="12">
        <v>267.82608695652175</v>
      </c>
    </row>
    <row r="8" spans="1:14" ht="15.75" customHeight="1" x14ac:dyDescent="0.25">
      <c r="A8" s="5" t="s">
        <v>46</v>
      </c>
      <c r="B8" s="5" t="s">
        <v>47</v>
      </c>
      <c r="C8" s="5" t="s">
        <v>48</v>
      </c>
      <c r="D8" s="5">
        <v>30</v>
      </c>
      <c r="E8" s="5">
        <v>5</v>
      </c>
      <c r="F8" s="5" t="s">
        <v>32</v>
      </c>
      <c r="H8">
        <f t="shared" si="0"/>
        <v>30</v>
      </c>
      <c r="I8" t="str">
        <f t="shared" si="1"/>
        <v>Fashion</v>
      </c>
      <c r="J8" t="str">
        <f t="shared" si="2"/>
        <v>T-Shirt</v>
      </c>
      <c r="K8" s="14" t="str">
        <f t="shared" si="3"/>
        <v>19-JUL</v>
      </c>
      <c r="L8" t="str">
        <f t="shared" si="4"/>
        <v>UK</v>
      </c>
      <c r="M8" t="str">
        <f t="shared" si="5"/>
        <v>T-Shirt Adidas</v>
      </c>
      <c r="N8" s="12">
        <v>30</v>
      </c>
    </row>
    <row r="9" spans="1:14" ht="15.75" customHeight="1" x14ac:dyDescent="0.25">
      <c r="A9" s="8" t="s">
        <v>49</v>
      </c>
      <c r="B9" s="8" t="s">
        <v>50</v>
      </c>
      <c r="C9" s="8" t="s">
        <v>51</v>
      </c>
      <c r="D9" s="8">
        <v>90</v>
      </c>
      <c r="E9" s="8">
        <v>35</v>
      </c>
      <c r="F9" s="8" t="s">
        <v>36</v>
      </c>
      <c r="H9">
        <f t="shared" si="0"/>
        <v>90</v>
      </c>
      <c r="I9" t="str">
        <f t="shared" si="1"/>
        <v>Kitchen</v>
      </c>
      <c r="J9" t="str">
        <f t="shared" si="2"/>
        <v>Blender</v>
      </c>
      <c r="K9" s="14" t="str">
        <f t="shared" si="3"/>
        <v>23-AUG</v>
      </c>
      <c r="L9" t="str">
        <f t="shared" si="4"/>
        <v>UK</v>
      </c>
      <c r="M9" t="str">
        <f t="shared" si="5"/>
        <v>Blender Ninja</v>
      </c>
      <c r="N9" s="12">
        <v>90</v>
      </c>
    </row>
    <row r="10" spans="1:14" ht="15.75" customHeight="1" x14ac:dyDescent="0.25">
      <c r="A10" s="5" t="s">
        <v>52</v>
      </c>
      <c r="B10" s="5" t="s">
        <v>53</v>
      </c>
      <c r="C10" s="5" t="s">
        <v>54</v>
      </c>
      <c r="D10" s="5">
        <v>500</v>
      </c>
      <c r="E10" s="5">
        <v>50</v>
      </c>
      <c r="F10" s="5" t="s">
        <v>28</v>
      </c>
      <c r="H10">
        <f t="shared" si="0"/>
        <v>500</v>
      </c>
      <c r="I10" t="str">
        <f t="shared" si="1"/>
        <v>Electronics</v>
      </c>
      <c r="J10" t="str">
        <f t="shared" si="2"/>
        <v>Tablet</v>
      </c>
      <c r="K10" s="14" t="str">
        <f t="shared" si="3"/>
        <v>05-SEP</v>
      </c>
      <c r="L10" t="str">
        <f t="shared" si="4"/>
        <v>UK</v>
      </c>
      <c r="M10" t="str">
        <f t="shared" si="5"/>
        <v>Tablet Apple</v>
      </c>
      <c r="N10" s="12">
        <v>500</v>
      </c>
    </row>
    <row r="11" spans="1:14" ht="15.75" customHeight="1" x14ac:dyDescent="0.25">
      <c r="A11" s="8" t="s">
        <v>55</v>
      </c>
      <c r="B11" s="8" t="s">
        <v>56</v>
      </c>
      <c r="C11" s="8" t="s">
        <v>57</v>
      </c>
      <c r="D11" s="8">
        <v>130</v>
      </c>
      <c r="E11" s="8">
        <v>10</v>
      </c>
      <c r="F11" s="8" t="s">
        <v>58</v>
      </c>
      <c r="H11">
        <f t="shared" si="0"/>
        <v>130</v>
      </c>
      <c r="I11" t="str">
        <f t="shared" si="1"/>
        <v>Outdoor</v>
      </c>
      <c r="J11" t="str">
        <f t="shared" si="2"/>
        <v>Hiking Boots</v>
      </c>
      <c r="K11" s="14" t="str">
        <f t="shared" si="3"/>
        <v>14-OCT</v>
      </c>
      <c r="L11" t="str">
        <f t="shared" si="4"/>
        <v>UK</v>
      </c>
      <c r="M11" t="str">
        <f t="shared" si="5"/>
        <v>Hiking Boots Timberland</v>
      </c>
      <c r="N11" s="12">
        <v>130</v>
      </c>
    </row>
    <row r="12" spans="1:14" ht="15.75" customHeight="1" x14ac:dyDescent="0.25">
      <c r="A12" s="5" t="s">
        <v>59</v>
      </c>
      <c r="B12" s="5" t="s">
        <v>60</v>
      </c>
      <c r="C12" s="5" t="s">
        <v>61</v>
      </c>
      <c r="D12" s="5">
        <v>950</v>
      </c>
      <c r="E12" s="5">
        <v>25</v>
      </c>
      <c r="F12" s="5" t="s">
        <v>28</v>
      </c>
      <c r="H12">
        <f t="shared" si="0"/>
        <v>950</v>
      </c>
      <c r="I12" t="str">
        <f t="shared" si="1"/>
        <v>Electronics</v>
      </c>
      <c r="J12" t="str">
        <f t="shared" si="2"/>
        <v>Laptop</v>
      </c>
      <c r="K12" s="14" t="str">
        <f t="shared" si="3"/>
        <v>17-JUN</v>
      </c>
      <c r="L12" t="str">
        <f t="shared" si="4"/>
        <v>IN</v>
      </c>
      <c r="M12" t="str">
        <f t="shared" si="5"/>
        <v>Laptop HP</v>
      </c>
      <c r="N12" s="12">
        <v>950</v>
      </c>
    </row>
    <row r="13" spans="1:14" ht="15.75" customHeight="1" x14ac:dyDescent="0.25">
      <c r="A13" s="8" t="s">
        <v>62</v>
      </c>
      <c r="B13" s="8" t="s">
        <v>30</v>
      </c>
      <c r="C13" s="8" t="s">
        <v>48</v>
      </c>
      <c r="D13" s="8">
        <v>90</v>
      </c>
      <c r="E13" s="8">
        <v>40</v>
      </c>
      <c r="F13" s="8"/>
      <c r="H13">
        <f t="shared" si="0"/>
        <v>90</v>
      </c>
      <c r="I13" t="str">
        <f t="shared" si="1"/>
        <v>unknown</v>
      </c>
      <c r="J13" t="str">
        <f t="shared" si="2"/>
        <v>Sneakers</v>
      </c>
      <c r="K13" s="14" t="str">
        <f t="shared" si="3"/>
        <v>25-NOV</v>
      </c>
      <c r="L13" t="str">
        <f t="shared" si="4"/>
        <v>AU</v>
      </c>
      <c r="M13" t="str">
        <f t="shared" si="5"/>
        <v>Sneakers Adidas</v>
      </c>
      <c r="N13" s="12">
        <v>90</v>
      </c>
    </row>
    <row r="14" spans="1:14" ht="15.75" customHeight="1" x14ac:dyDescent="0.25">
      <c r="A14" s="5" t="s">
        <v>63</v>
      </c>
      <c r="B14" s="5" t="s">
        <v>34</v>
      </c>
      <c r="C14" s="5" t="s">
        <v>64</v>
      </c>
      <c r="D14" s="5">
        <v>120</v>
      </c>
      <c r="E14" s="5">
        <v>35</v>
      </c>
      <c r="F14" s="5"/>
      <c r="H14">
        <f t="shared" si="0"/>
        <v>120</v>
      </c>
      <c r="I14" t="str">
        <f t="shared" si="1"/>
        <v>unknown</v>
      </c>
      <c r="J14" t="str">
        <f t="shared" si="2"/>
        <v>Coffee Maker</v>
      </c>
      <c r="K14" s="14" t="str">
        <f t="shared" si="3"/>
        <v>08-DEC</v>
      </c>
      <c r="L14" t="str">
        <f t="shared" si="4"/>
        <v>DE</v>
      </c>
      <c r="M14" t="str">
        <f t="shared" si="5"/>
        <v>Coffee Maker Nespresso</v>
      </c>
      <c r="N14" s="12">
        <v>120</v>
      </c>
    </row>
    <row r="15" spans="1:14" ht="15.75" customHeight="1" x14ac:dyDescent="0.25">
      <c r="A15" s="8" t="s">
        <v>65</v>
      </c>
      <c r="B15" s="8" t="s">
        <v>66</v>
      </c>
      <c r="C15" s="8" t="s">
        <v>67</v>
      </c>
      <c r="D15" s="8">
        <v>150</v>
      </c>
      <c r="E15" s="8">
        <v>15</v>
      </c>
      <c r="F15" s="8" t="s">
        <v>28</v>
      </c>
      <c r="H15">
        <f t="shared" si="0"/>
        <v>150</v>
      </c>
      <c r="I15" t="str">
        <f t="shared" si="1"/>
        <v>Electronics</v>
      </c>
      <c r="J15" t="str">
        <f t="shared" si="2"/>
        <v>Smartwatch</v>
      </c>
      <c r="K15" s="14" t="str">
        <f t="shared" si="3"/>
        <v>18-FEB</v>
      </c>
      <c r="L15" t="str">
        <f t="shared" si="4"/>
        <v>CA</v>
      </c>
      <c r="M15" t="str">
        <f t="shared" si="5"/>
        <v>Smartwatch Fitbit</v>
      </c>
      <c r="N15" s="12">
        <v>150</v>
      </c>
    </row>
    <row r="16" spans="1:14" ht="15.75" customHeight="1" x14ac:dyDescent="0.25">
      <c r="A16" s="5" t="s">
        <v>68</v>
      </c>
      <c r="B16" s="5" t="s">
        <v>69</v>
      </c>
      <c r="C16" s="5" t="s">
        <v>70</v>
      </c>
      <c r="D16" s="5">
        <v>250</v>
      </c>
      <c r="E16" s="5">
        <v>20</v>
      </c>
      <c r="F16" s="5" t="s">
        <v>28</v>
      </c>
      <c r="H16">
        <f t="shared" si="0"/>
        <v>250</v>
      </c>
      <c r="I16" t="str">
        <f t="shared" si="1"/>
        <v>Electronics</v>
      </c>
      <c r="J16" t="str">
        <f t="shared" si="2"/>
        <v>Headphones</v>
      </c>
      <c r="K16" s="14" t="str">
        <f t="shared" si="3"/>
        <v>16-APR</v>
      </c>
      <c r="L16" t="str">
        <f t="shared" si="4"/>
        <v>ES</v>
      </c>
      <c r="M16" t="str">
        <f t="shared" si="5"/>
        <v>Headphones Bose</v>
      </c>
      <c r="N16" s="12">
        <v>250</v>
      </c>
    </row>
    <row r="17" spans="1:14" ht="15.75" customHeight="1" x14ac:dyDescent="0.25">
      <c r="A17" s="8" t="s">
        <v>71</v>
      </c>
      <c r="B17" s="8" t="s">
        <v>72</v>
      </c>
      <c r="C17" s="8" t="s">
        <v>73</v>
      </c>
      <c r="D17" s="8">
        <v>50</v>
      </c>
      <c r="E17" s="8">
        <v>35</v>
      </c>
      <c r="F17" s="8" t="s">
        <v>74</v>
      </c>
      <c r="H17">
        <f t="shared" si="0"/>
        <v>50</v>
      </c>
      <c r="I17" t="str">
        <f t="shared" si="1"/>
        <v>Accessories</v>
      </c>
      <c r="J17" t="str">
        <f t="shared" si="2"/>
        <v>Laptop Bag</v>
      </c>
      <c r="K17" s="14" t="str">
        <f t="shared" si="3"/>
        <v>21-AUG</v>
      </c>
      <c r="L17" t="str">
        <f t="shared" si="4"/>
        <v>CA</v>
      </c>
      <c r="M17" t="str">
        <f t="shared" si="5"/>
        <v>Laptop Bag Samsonite</v>
      </c>
      <c r="N17" s="12">
        <v>50</v>
      </c>
    </row>
    <row r="18" spans="1:14" ht="15.75" customHeight="1" x14ac:dyDescent="0.25">
      <c r="A18" s="5" t="s">
        <v>75</v>
      </c>
      <c r="B18" s="5" t="s">
        <v>66</v>
      </c>
      <c r="C18" s="5" t="s">
        <v>76</v>
      </c>
      <c r="D18" s="5">
        <v>160</v>
      </c>
      <c r="E18" s="5">
        <v>15</v>
      </c>
      <c r="F18" s="5" t="s">
        <v>28</v>
      </c>
      <c r="H18">
        <f t="shared" si="0"/>
        <v>160</v>
      </c>
      <c r="I18" t="str">
        <f t="shared" si="1"/>
        <v>Electronics</v>
      </c>
      <c r="J18" t="str">
        <f t="shared" si="2"/>
        <v>Smartwatch</v>
      </c>
      <c r="K18" s="14" t="str">
        <f t="shared" si="3"/>
        <v>20-AUG</v>
      </c>
      <c r="L18" t="str">
        <f t="shared" si="4"/>
        <v>CN</v>
      </c>
      <c r="M18" t="str">
        <f t="shared" si="5"/>
        <v>Smartwatch Huawei</v>
      </c>
      <c r="N18" s="12">
        <v>160</v>
      </c>
    </row>
    <row r="19" spans="1:14" ht="15.75" customHeight="1" x14ac:dyDescent="0.25">
      <c r="A19" s="8" t="s">
        <v>77</v>
      </c>
      <c r="B19" s="8" t="s">
        <v>26</v>
      </c>
      <c r="C19" s="8" t="s">
        <v>78</v>
      </c>
      <c r="D19" s="8">
        <v>980</v>
      </c>
      <c r="E19" s="8">
        <v>10</v>
      </c>
      <c r="F19" s="8" t="s">
        <v>28</v>
      </c>
      <c r="H19">
        <f t="shared" si="0"/>
        <v>980</v>
      </c>
      <c r="I19" t="str">
        <f t="shared" si="1"/>
        <v>Electronics</v>
      </c>
      <c r="J19" t="str">
        <f t="shared" si="2"/>
        <v>Laptop</v>
      </c>
      <c r="K19" s="14" t="str">
        <f t="shared" si="3"/>
        <v>27-JAN</v>
      </c>
      <c r="L19" t="str">
        <f t="shared" si="4"/>
        <v>IT</v>
      </c>
      <c r="M19" t="str">
        <f t="shared" si="5"/>
        <v>Laptop Asus</v>
      </c>
      <c r="N19" s="12">
        <v>980</v>
      </c>
    </row>
    <row r="20" spans="1:14" ht="15.75" customHeight="1" x14ac:dyDescent="0.25">
      <c r="A20" s="5" t="s">
        <v>79</v>
      </c>
      <c r="B20" s="5" t="s">
        <v>80</v>
      </c>
      <c r="C20" s="5" t="s">
        <v>81</v>
      </c>
      <c r="D20" s="5">
        <v>150</v>
      </c>
      <c r="E20" s="5">
        <v>15</v>
      </c>
      <c r="F20" s="5" t="s">
        <v>32</v>
      </c>
      <c r="H20">
        <f t="shared" si="0"/>
        <v>150</v>
      </c>
      <c r="I20" t="str">
        <f t="shared" si="1"/>
        <v>Fashion</v>
      </c>
      <c r="J20" t="str">
        <f t="shared" si="2"/>
        <v>Sunglasses</v>
      </c>
      <c r="K20" s="14" t="str">
        <f t="shared" si="3"/>
        <v>01-MAR</v>
      </c>
      <c r="L20" t="str">
        <f t="shared" si="4"/>
        <v>UK</v>
      </c>
      <c r="M20" t="str">
        <f t="shared" si="5"/>
        <v>Sunglasses Oakley</v>
      </c>
      <c r="N20" s="12">
        <v>150</v>
      </c>
    </row>
    <row r="21" spans="1:14" ht="15.75" customHeight="1" x14ac:dyDescent="0.25">
      <c r="A21" s="8" t="s">
        <v>82</v>
      </c>
      <c r="B21" s="8" t="s">
        <v>83</v>
      </c>
      <c r="C21" s="8" t="s">
        <v>84</v>
      </c>
      <c r="D21" s="8"/>
      <c r="E21" s="8">
        <v>10</v>
      </c>
      <c r="F21" s="8" t="s">
        <v>58</v>
      </c>
      <c r="H21">
        <f t="shared" si="0"/>
        <v>251</v>
      </c>
      <c r="I21" t="str">
        <f t="shared" si="1"/>
        <v>Outdoor</v>
      </c>
      <c r="J21" t="str">
        <f t="shared" si="2"/>
        <v>Camping Tent</v>
      </c>
      <c r="K21" s="14" t="str">
        <f t="shared" si="3"/>
        <v>14-AUG</v>
      </c>
      <c r="L21" t="str">
        <f t="shared" si="4"/>
        <v>US</v>
      </c>
      <c r="M21" t="str">
        <f t="shared" si="5"/>
        <v>Camping Tent Coleman</v>
      </c>
      <c r="N21" s="12">
        <v>251</v>
      </c>
    </row>
    <row r="22" spans="1:14" ht="15.75" customHeight="1" x14ac:dyDescent="0.25">
      <c r="A22" s="5" t="s">
        <v>85</v>
      </c>
      <c r="B22" s="5" t="s">
        <v>86</v>
      </c>
      <c r="C22" s="5" t="s">
        <v>87</v>
      </c>
      <c r="D22" s="5">
        <v>700</v>
      </c>
      <c r="E22" s="5">
        <v>50</v>
      </c>
      <c r="F22" s="5" t="s">
        <v>28</v>
      </c>
      <c r="H22">
        <f t="shared" si="0"/>
        <v>700</v>
      </c>
      <c r="I22" t="str">
        <f t="shared" si="1"/>
        <v>Electronics</v>
      </c>
      <c r="J22" t="str">
        <f t="shared" si="2"/>
        <v>Camera</v>
      </c>
      <c r="K22" s="14" t="str">
        <f t="shared" si="3"/>
        <v>14-MAY</v>
      </c>
      <c r="L22" t="str">
        <f t="shared" si="4"/>
        <v>RU</v>
      </c>
      <c r="M22" t="str">
        <f t="shared" si="5"/>
        <v>Camera Nikon</v>
      </c>
      <c r="N22" s="12">
        <v>700</v>
      </c>
    </row>
    <row r="23" spans="1:14" ht="15.75" customHeight="1" x14ac:dyDescent="0.25">
      <c r="A23" s="8" t="s">
        <v>88</v>
      </c>
      <c r="B23" s="8" t="s">
        <v>89</v>
      </c>
      <c r="C23" s="8" t="s">
        <v>90</v>
      </c>
      <c r="D23" s="8">
        <v>80</v>
      </c>
      <c r="E23" s="8">
        <v>20</v>
      </c>
      <c r="F23" s="8" t="s">
        <v>36</v>
      </c>
      <c r="H23">
        <f t="shared" si="0"/>
        <v>80</v>
      </c>
      <c r="I23" t="str">
        <f t="shared" si="1"/>
        <v>Kitchen</v>
      </c>
      <c r="J23" t="str">
        <f t="shared" si="2"/>
        <v>Microwave</v>
      </c>
      <c r="K23" s="14" t="str">
        <f t="shared" si="3"/>
        <v>09-JAN</v>
      </c>
      <c r="L23" t="str">
        <f t="shared" si="4"/>
        <v>CA</v>
      </c>
      <c r="M23" t="str">
        <f t="shared" si="5"/>
        <v>Microwave Panasonic</v>
      </c>
      <c r="N23" s="12">
        <v>80</v>
      </c>
    </row>
    <row r="24" spans="1:14" ht="15.75" customHeight="1" x14ac:dyDescent="0.25">
      <c r="A24" s="5" t="s">
        <v>91</v>
      </c>
      <c r="B24" s="5" t="s">
        <v>92</v>
      </c>
      <c r="C24" s="5" t="s">
        <v>93</v>
      </c>
      <c r="D24" s="5">
        <v>150</v>
      </c>
      <c r="E24" s="5">
        <v>30</v>
      </c>
      <c r="F24" s="5"/>
      <c r="H24">
        <f t="shared" si="0"/>
        <v>150</v>
      </c>
      <c r="I24" t="str">
        <f t="shared" si="1"/>
        <v>unknown</v>
      </c>
      <c r="J24" t="str">
        <f t="shared" si="2"/>
        <v>Fitness Tracker</v>
      </c>
      <c r="K24" s="14" t="str">
        <f t="shared" si="3"/>
        <v>19-JUL</v>
      </c>
      <c r="L24" t="str">
        <f t="shared" si="4"/>
        <v>BR</v>
      </c>
      <c r="M24" t="str">
        <f t="shared" si="5"/>
        <v>Fitness Tracker Xiaomi</v>
      </c>
      <c r="N24" s="12">
        <v>150</v>
      </c>
    </row>
    <row r="25" spans="1:14" ht="15.75" customHeight="1" x14ac:dyDescent="0.25">
      <c r="A25" s="5" t="s">
        <v>94</v>
      </c>
      <c r="B25" s="5" t="s">
        <v>95</v>
      </c>
      <c r="C25" s="5" t="s">
        <v>96</v>
      </c>
      <c r="D25" s="5">
        <v>800</v>
      </c>
      <c r="E25" s="5">
        <v>45</v>
      </c>
      <c r="F25" s="5" t="s">
        <v>28</v>
      </c>
      <c r="H25">
        <f t="shared" si="0"/>
        <v>800</v>
      </c>
      <c r="I25" t="str">
        <f t="shared" si="1"/>
        <v>Electronics</v>
      </c>
      <c r="J25" t="str">
        <f t="shared" si="2"/>
        <v>Smartphone</v>
      </c>
      <c r="K25" s="14" t="str">
        <f t="shared" si="3"/>
        <v>29-SEP</v>
      </c>
      <c r="L25" t="str">
        <f t="shared" si="4"/>
        <v>CA</v>
      </c>
      <c r="M25" t="str">
        <f t="shared" si="5"/>
        <v>Smartphone Google</v>
      </c>
      <c r="N25" s="12">
        <v>800</v>
      </c>
    </row>
    <row r="26" spans="1:14" ht="15.75" customHeight="1" x14ac:dyDescent="0.25">
      <c r="A26" s="8" t="s">
        <v>97</v>
      </c>
      <c r="B26" s="8" t="s">
        <v>80</v>
      </c>
      <c r="C26" s="8" t="s">
        <v>98</v>
      </c>
      <c r="D26" s="8"/>
      <c r="E26" s="8">
        <v>25</v>
      </c>
      <c r="F26" s="8" t="s">
        <v>32</v>
      </c>
      <c r="H26">
        <f t="shared" si="0"/>
        <v>130</v>
      </c>
      <c r="I26" t="str">
        <f t="shared" si="1"/>
        <v>Fashion</v>
      </c>
      <c r="J26" t="str">
        <f t="shared" si="2"/>
        <v>Sunglasses</v>
      </c>
      <c r="K26" s="14" t="str">
        <f t="shared" si="3"/>
        <v>03-JUN</v>
      </c>
      <c r="L26" t="str">
        <f t="shared" si="4"/>
        <v>CA</v>
      </c>
      <c r="M26" t="str">
        <f t="shared" si="5"/>
        <v>Sunglasses Ray-Ban</v>
      </c>
      <c r="N26" s="12">
        <v>130</v>
      </c>
    </row>
    <row r="27" spans="1:14" ht="15.75" customHeight="1" x14ac:dyDescent="0.25">
      <c r="A27" s="5" t="s">
        <v>99</v>
      </c>
      <c r="B27" s="5" t="s">
        <v>50</v>
      </c>
      <c r="C27" s="5" t="s">
        <v>100</v>
      </c>
      <c r="D27" s="5">
        <v>400</v>
      </c>
      <c r="E27" s="5">
        <v>40</v>
      </c>
      <c r="F27" s="5" t="s">
        <v>36</v>
      </c>
      <c r="H27">
        <f t="shared" si="0"/>
        <v>400</v>
      </c>
      <c r="I27" t="str">
        <f t="shared" si="1"/>
        <v>Kitchen</v>
      </c>
      <c r="J27" t="str">
        <f t="shared" si="2"/>
        <v>Blender</v>
      </c>
      <c r="K27" s="14" t="str">
        <f t="shared" si="3"/>
        <v>11-JUL</v>
      </c>
      <c r="L27" t="str">
        <f t="shared" si="4"/>
        <v>CA</v>
      </c>
      <c r="M27" t="str">
        <f t="shared" si="5"/>
        <v>Blender Vitamix</v>
      </c>
      <c r="N27" s="12">
        <v>400</v>
      </c>
    </row>
    <row r="28" spans="1:14" ht="15.75" customHeight="1" x14ac:dyDescent="0.25">
      <c r="A28" s="5" t="s">
        <v>101</v>
      </c>
      <c r="B28" s="5" t="s">
        <v>102</v>
      </c>
      <c r="C28" s="5" t="s">
        <v>103</v>
      </c>
      <c r="D28" s="5">
        <v>60</v>
      </c>
      <c r="E28" s="5">
        <v>30</v>
      </c>
      <c r="F28" s="5" t="s">
        <v>32</v>
      </c>
      <c r="H28">
        <f t="shared" si="0"/>
        <v>60</v>
      </c>
      <c r="I28" t="str">
        <f t="shared" si="1"/>
        <v>Fashion</v>
      </c>
      <c r="J28" t="str">
        <f t="shared" si="2"/>
        <v>Dress</v>
      </c>
      <c r="K28" s="14" t="str">
        <f t="shared" si="3"/>
        <v>07-MAR</v>
      </c>
      <c r="L28" t="str">
        <f t="shared" si="4"/>
        <v>CA</v>
      </c>
      <c r="M28" t="str">
        <f t="shared" si="5"/>
        <v>Dress Zara</v>
      </c>
      <c r="N28" s="12">
        <v>60</v>
      </c>
    </row>
    <row r="29" spans="1:14" ht="15.75" customHeight="1" x14ac:dyDescent="0.25">
      <c r="A29" s="8" t="s">
        <v>104</v>
      </c>
      <c r="B29" s="8" t="s">
        <v>105</v>
      </c>
      <c r="C29" s="8" t="s">
        <v>106</v>
      </c>
      <c r="D29" s="8">
        <v>40</v>
      </c>
      <c r="E29" s="8">
        <v>10</v>
      </c>
      <c r="F29" s="8" t="s">
        <v>36</v>
      </c>
      <c r="H29">
        <f t="shared" si="0"/>
        <v>40</v>
      </c>
      <c r="I29" t="str">
        <f t="shared" si="1"/>
        <v>Kitchen</v>
      </c>
      <c r="J29" t="str">
        <f t="shared" si="2"/>
        <v>Toaster</v>
      </c>
      <c r="K29" s="14" t="str">
        <f t="shared" si="3"/>
        <v>13-APR</v>
      </c>
      <c r="L29" t="str">
        <f t="shared" si="4"/>
        <v>CA</v>
      </c>
      <c r="M29" t="str">
        <f t="shared" si="5"/>
        <v>Toaster Hamilton</v>
      </c>
      <c r="N29" s="12">
        <v>40</v>
      </c>
    </row>
    <row r="30" spans="1:14" ht="15.75" customHeight="1" x14ac:dyDescent="0.25">
      <c r="A30" s="5" t="s">
        <v>107</v>
      </c>
      <c r="B30" s="5" t="s">
        <v>92</v>
      </c>
      <c r="C30" s="5" t="s">
        <v>108</v>
      </c>
      <c r="D30" s="5">
        <v>130</v>
      </c>
      <c r="E30" s="5">
        <v>5</v>
      </c>
      <c r="F30" s="5" t="s">
        <v>28</v>
      </c>
      <c r="H30">
        <f t="shared" si="0"/>
        <v>130</v>
      </c>
      <c r="I30" t="str">
        <f t="shared" si="1"/>
        <v>Electronics</v>
      </c>
      <c r="J30" t="str">
        <f t="shared" si="2"/>
        <v>Fitness Tracker</v>
      </c>
      <c r="K30" s="14" t="str">
        <f t="shared" si="3"/>
        <v>24-MAY</v>
      </c>
      <c r="L30" t="str">
        <f t="shared" si="4"/>
        <v>CA</v>
      </c>
      <c r="M30" t="str">
        <f t="shared" si="5"/>
        <v>Fitness Tracker Garmin</v>
      </c>
      <c r="N30" s="12">
        <v>130</v>
      </c>
    </row>
    <row r="31" spans="1:14" ht="15.75" customHeight="1" x14ac:dyDescent="0.25">
      <c r="A31" s="8" t="s">
        <v>109</v>
      </c>
      <c r="B31" s="8" t="s">
        <v>110</v>
      </c>
      <c r="C31" s="8" t="s">
        <v>111</v>
      </c>
      <c r="D31" s="8">
        <v>50</v>
      </c>
      <c r="E31" s="8">
        <v>50</v>
      </c>
      <c r="F31" s="8" t="s">
        <v>32</v>
      </c>
      <c r="H31">
        <f t="shared" si="0"/>
        <v>50</v>
      </c>
      <c r="I31" t="str">
        <f t="shared" si="1"/>
        <v>Fashion</v>
      </c>
      <c r="J31" t="str">
        <f t="shared" si="2"/>
        <v>Jeans</v>
      </c>
      <c r="K31" s="14" t="str">
        <f t="shared" si="3"/>
        <v>02-DEC</v>
      </c>
      <c r="L31" t="str">
        <f t="shared" si="4"/>
        <v>CA</v>
      </c>
      <c r="M31" t="str">
        <f t="shared" si="5"/>
        <v>Jeans Levi's</v>
      </c>
      <c r="N31" s="12">
        <v>50</v>
      </c>
    </row>
    <row r="32" spans="1:14" ht="15.75" customHeight="1" x14ac:dyDescent="0.25">
      <c r="A32" s="8" t="s">
        <v>112</v>
      </c>
      <c r="B32" s="8" t="s">
        <v>113</v>
      </c>
      <c r="C32" s="8" t="s">
        <v>114</v>
      </c>
      <c r="D32" s="8">
        <v>100</v>
      </c>
      <c r="E32" s="8">
        <v>20</v>
      </c>
      <c r="F32" s="8" t="s">
        <v>74</v>
      </c>
      <c r="H32">
        <f t="shared" si="0"/>
        <v>100</v>
      </c>
      <c r="I32" t="str">
        <f t="shared" si="1"/>
        <v>Accessories</v>
      </c>
      <c r="J32" t="str">
        <f t="shared" si="2"/>
        <v>Watch</v>
      </c>
      <c r="K32" s="14" t="str">
        <f t="shared" si="3"/>
        <v>09-JUL</v>
      </c>
      <c r="L32" t="str">
        <f t="shared" si="4"/>
        <v>FR</v>
      </c>
      <c r="M32" t="str">
        <f t="shared" si="5"/>
        <v>Watch Casio</v>
      </c>
      <c r="N32" s="12">
        <v>100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I1:I1048576">
    <cfRule type="containsText" dxfId="1" priority="2" operator="containsText" text="Electronics">
      <formula>NOT(ISERROR(SEARCH("Electronics",I1)))</formula>
    </cfRule>
  </conditionalFormatting>
  <conditionalFormatting sqref="N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4FD18867-638F-496C-B52C-66517620B2E6}">
            <xm:f>NOT(ISERROR(SEARCH($I$2,I5)))</xm:f>
            <xm:f>$I$2</xm:f>
            <x14:dxf>
              <fill>
                <patternFill>
                  <bgColor rgb="FF92D050"/>
                </patternFill>
              </fill>
            </x14:dxf>
          </x14:cfRule>
          <xm:sqref>I5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 kizhakkethara</cp:lastModifiedBy>
  <cp:lastPrinted>2025-10-11T04:41:05Z</cp:lastPrinted>
  <dcterms:modified xsi:type="dcterms:W3CDTF">2026-09-24T15:04:13Z</dcterms:modified>
</cp:coreProperties>
</file>